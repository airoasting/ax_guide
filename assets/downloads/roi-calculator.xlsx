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계산" sheetId="1" state="visible" r:id="rId1"/>
    <sheet xmlns:r="http://schemas.openxmlformats.org/officeDocument/2006/relationships" name="직군별 추정 시간" sheetId="2" state="visible" r:id="rId2"/>
    <sheet xmlns:r="http://schemas.openxmlformats.org/officeDocument/2006/relationships"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nter"/>
      <b val="1"/>
      <color rgb="00111827"/>
      <sz val="16"/>
    </font>
    <font>
      <name val="Inter"/>
      <b val="1"/>
      <color rgb="00111827"/>
      <sz val="11"/>
    </font>
    <font>
      <name val="Inter"/>
      <color rgb="00111827"/>
      <sz val="11"/>
    </font>
    <font>
      <name val="Inter"/>
      <i val="1"/>
      <color rgb="006B7280"/>
      <sz val="10"/>
    </font>
    <font>
      <name val="Inter"/>
      <b val="1"/>
      <color rgb="00FFFFFF"/>
      <sz val="12"/>
    </font>
    <font>
      <name val="Inter"/>
      <i val="1"/>
      <color rgb="006B7280"/>
      <sz val="9"/>
    </font>
    <font>
      <name val="Inter"/>
      <b val="1"/>
      <color rgb="00111827"/>
      <sz val="14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</cols>
  <sheetData>
    <row r="1" ht="28" customHeight="1">
      <c r="A1" s="1" t="inlineStr">
        <is>
          <t>AX ROI 12개월 회수 모델</t>
        </is>
      </c>
    </row>
    <row r="2">
      <c r="A2" s="2" t="inlineStr">
        <is>
          <t>회사명</t>
        </is>
      </c>
      <c r="B2" s="3" t="inlineStr"/>
      <c r="C2" s="4" t="inlineStr">
        <is>
          <t>예: ABC주식회사</t>
        </is>
      </c>
    </row>
    <row r="3">
      <c r="A3" s="2" t="inlineStr">
        <is>
          <t>작성일</t>
        </is>
      </c>
      <c r="B3" s="3" t="inlineStr"/>
      <c r="C3" s="4" t="inlineStr">
        <is>
          <t>YYYY-MM-DD</t>
        </is>
      </c>
    </row>
    <row r="5" ht="22" customHeight="1">
      <c r="A5" s="5" t="inlineStr">
        <is>
          <t>항목</t>
        </is>
      </c>
      <c r="B5" s="5" t="inlineStr">
        <is>
          <t>값</t>
        </is>
      </c>
      <c r="C5" s="5" t="inlineStr">
        <is>
          <t>비고</t>
        </is>
      </c>
    </row>
    <row r="6">
      <c r="A6" s="6" t="inlineStr">
        <is>
          <t>대상 직군</t>
        </is>
      </c>
      <c r="B6" s="7" t="inlineStr"/>
      <c r="C6" s="8" t="inlineStr">
        <is>
          <t>예: 마케팅팀</t>
        </is>
      </c>
    </row>
    <row r="7">
      <c r="A7" s="6" t="inlineStr">
        <is>
          <t>인원 수</t>
        </is>
      </c>
      <c r="B7" s="7" t="inlineStr"/>
      <c r="C7" s="8" t="inlineStr">
        <is>
          <t>명</t>
        </is>
      </c>
    </row>
    <row r="8">
      <c r="A8" s="6" t="inlineStr">
        <is>
          <t>평균 시급 (만원)</t>
        </is>
      </c>
      <c r="B8" s="7" t="inlineStr"/>
      <c r="C8" s="8" t="inlineStr">
        <is>
          <t>만원/시간</t>
        </is>
      </c>
    </row>
    <row r="9">
      <c r="A9" s="6" t="inlineStr">
        <is>
          <t>주당 절감 시간 (1인)</t>
        </is>
      </c>
      <c r="B9" s="7" t="inlineStr"/>
      <c r="C9" s="8" t="inlineStr">
        <is>
          <t>시간</t>
        </is>
      </c>
    </row>
    <row r="10">
      <c r="A10" s="6" t="inlineStr">
        <is>
          <t>연 절감 시간 (1인)</t>
        </is>
      </c>
      <c r="B10" s="9">
        <f>B9*48</f>
        <v/>
      </c>
      <c r="C10" s="8" t="inlineStr">
        <is>
          <t>시간 (=주당*48주)</t>
        </is>
      </c>
    </row>
    <row r="11">
      <c r="A11" s="6" t="inlineStr">
        <is>
          <t>연 절감액 (1인, 만원)</t>
        </is>
      </c>
      <c r="B11" s="9">
        <f>B10*B8</f>
        <v/>
      </c>
      <c r="C11" s="8">
        <f>연 절감 시간 * 시급</f>
        <v/>
      </c>
    </row>
    <row r="12">
      <c r="A12" s="6" t="inlineStr">
        <is>
          <t>연 절감액 (전체, 만원)</t>
        </is>
      </c>
      <c r="B12" s="9">
        <f>B11*B7</f>
        <v/>
      </c>
      <c r="C12" s="8">
        <f>1인 절감액 * 인원수</f>
        <v/>
      </c>
    </row>
    <row r="13">
      <c r="A13" s="6" t="inlineStr">
        <is>
          <t>라이선스 비용 (연, 만원)</t>
        </is>
      </c>
      <c r="B13" s="7" t="inlineStr"/>
      <c r="C13" s="8" t="inlineStr">
        <is>
          <t>AI 도구 라이선스 합계</t>
        </is>
      </c>
    </row>
    <row r="14">
      <c r="A14" s="6" t="inlineStr">
        <is>
          <t>교육 비용 (1회, 만원)</t>
        </is>
      </c>
      <c r="B14" s="7" t="inlineStr"/>
      <c r="C14" s="8" t="inlineStr">
        <is>
          <t>초기 교육 비용</t>
        </is>
      </c>
    </row>
    <row r="15">
      <c r="A15" s="6" t="inlineStr">
        <is>
          <t>관리감독 비용 (연, 만원)</t>
        </is>
      </c>
      <c r="B15" s="7" t="inlineStr"/>
      <c r="C15" s="8" t="inlineStr">
        <is>
          <t>거버넌스/모니터링</t>
        </is>
      </c>
    </row>
    <row r="16">
      <c r="A16" s="6" t="inlineStr">
        <is>
          <t>총 비용 (만원)</t>
        </is>
      </c>
      <c r="B16" s="9">
        <f>B13+B14+B15</f>
        <v/>
      </c>
      <c r="C16" s="8" t="inlineStr">
        <is>
          <t>라이선스+교육+관리</t>
        </is>
      </c>
    </row>
    <row r="17">
      <c r="A17" s="6" t="inlineStr">
        <is>
          <t>순 ROI (만원)</t>
        </is>
      </c>
      <c r="B17" s="9">
        <f>B12-B16</f>
        <v/>
      </c>
      <c r="C17" s="8">
        <f>전체 절감액 - 총 비용</f>
        <v/>
      </c>
    </row>
    <row r="18">
      <c r="A18" s="6" t="inlineStr">
        <is>
          <t>회수 기간 (개월)</t>
        </is>
      </c>
      <c r="B18" s="9">
        <f>IF(B12=0,"-",12*B16/B12)</f>
        <v/>
      </c>
      <c r="C18" s="8">
        <f>12*비용/연절감액</f>
        <v/>
      </c>
    </row>
    <row r="21">
      <c r="A21" s="10" t="inlineStr">
        <is>
          <t>노랑 셀은 자동 계산됩니다. 흰색 셀에 값을 채우면 ROI와 회수 기간이 자동 산출됩니다.</t>
        </is>
      </c>
    </row>
    <row r="23">
      <c r="A23" s="11" t="inlineStr">
        <is>
          <t>AX Guide for Enterprise · v0.2 / jade@linercorp.com</t>
        </is>
      </c>
    </row>
  </sheetData>
  <mergeCells count="3">
    <mergeCell ref="A1:C1"/>
    <mergeCell ref="A23:C23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</cols>
  <sheetData>
    <row r="1" ht="24" customHeight="1">
      <c r="A1" s="12" t="inlineStr">
        <is>
          <t>직군별 주당 절감 시간 추정 (참고)</t>
        </is>
      </c>
    </row>
    <row r="3" ht="22" customHeight="1">
      <c r="A3" s="5" t="inlineStr">
        <is>
          <t>직군</t>
        </is>
      </c>
      <c r="B3" s="5" t="inlineStr">
        <is>
          <t>주당 절감 시간 (h)</t>
        </is>
      </c>
      <c r="C3" s="5" t="inlineStr">
        <is>
          <t>비고</t>
        </is>
      </c>
    </row>
    <row r="4">
      <c r="A4" s="6" t="inlineStr">
        <is>
          <t>경영기획·전략</t>
        </is>
      </c>
      <c r="B4" s="7" t="inlineStr"/>
      <c r="C4" s="8" t="inlineStr">
        <is>
          <t>보고서/분석 자동화 (권장 측정 범위 4-12h)</t>
        </is>
      </c>
    </row>
    <row r="5">
      <c r="A5" s="6" t="inlineStr">
        <is>
          <t>영업</t>
        </is>
      </c>
      <c r="B5" s="7" t="inlineStr"/>
      <c r="C5" s="8" t="inlineStr">
        <is>
          <t>제안서/이메일/CRM 입력 자동화</t>
        </is>
      </c>
    </row>
    <row r="6">
      <c r="A6" s="6" t="inlineStr">
        <is>
          <t>마케팅</t>
        </is>
      </c>
      <c r="B6" s="7" t="inlineStr"/>
      <c r="C6" s="8" t="inlineStr">
        <is>
          <t>콘텐츠 초안/SEO/소재 변형</t>
        </is>
      </c>
    </row>
    <row r="7">
      <c r="A7" s="6" t="inlineStr">
        <is>
          <t>HR</t>
        </is>
      </c>
      <c r="B7" s="7" t="inlineStr"/>
      <c r="C7" s="8" t="inlineStr">
        <is>
          <t>JD 작성/스크리닝/온보딩</t>
        </is>
      </c>
    </row>
    <row r="8">
      <c r="A8" s="6" t="inlineStr">
        <is>
          <t>재무·회계</t>
        </is>
      </c>
      <c r="B8" s="7" t="inlineStr"/>
      <c r="C8" s="8" t="inlineStr">
        <is>
          <t>리포트/분개 검토/비교 분석</t>
        </is>
      </c>
    </row>
    <row r="9">
      <c r="A9" s="6" t="inlineStr">
        <is>
          <t>개발</t>
        </is>
      </c>
      <c r="B9" s="7" t="inlineStr"/>
      <c r="C9" s="8" t="inlineStr">
        <is>
          <t>코드 생성/리뷰/문서화</t>
        </is>
      </c>
    </row>
    <row r="10">
      <c r="A10" s="6" t="inlineStr">
        <is>
          <t>디자인</t>
        </is>
      </c>
      <c r="B10" s="7" t="inlineStr"/>
      <c r="C10" s="8" t="inlineStr">
        <is>
          <t>시안 변형/카피/리서치</t>
        </is>
      </c>
    </row>
    <row r="11">
      <c r="A11" s="6" t="inlineStr">
        <is>
          <t>고객지원</t>
        </is>
      </c>
      <c r="B11" s="7" t="inlineStr"/>
      <c r="C11" s="8" t="inlineStr">
        <is>
          <t>응답 초안/FAQ/요약</t>
        </is>
      </c>
    </row>
    <row r="14">
      <c r="A14" s="10" t="inlineStr">
        <is>
          <t>추정 시간은 4-12h 범위에서 사내가 직접 측정한 값을 넣으세요. 추정만으로 ROI를 산출하면 신뢰도가 떨어집니다.</t>
        </is>
      </c>
    </row>
    <row r="16">
      <c r="A16" s="11" t="inlineStr">
        <is>
          <t>AX Guide for Enterprise · v0.2 / jade@linercorp.com</t>
        </is>
      </c>
    </row>
  </sheetData>
  <mergeCells count="3">
    <mergeCell ref="A1:C1"/>
    <mergeCell ref="A14:C14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사용 안내</t>
        </is>
      </c>
    </row>
    <row r="3" ht="320" customHeight="1">
      <c r="A3" s="13" t="inlineStr">
        <is>
          <t>이 시트는 9.5점 ROI 계산 모델입니다.
정확한 측정 없이 추정만 채워 넣지 마세요. 첫 분기에는 1개 직군 파일럿 측정 후 다른 직군으로 확장하는 것을 권장합니다.
권장 사용 흐름:
  1) 파일럿 직군 1개 선정 (예: 마케팅팀 5명)
  2) 4주간 도입 전후 시간 측정 (베이스라인 vs 도입 후)
  3) '직군별 추정 시간' 시트에 실측값 기록
  4) 'ROI 계산' 시트에 값 입력 → 회수 기간 산출
  5) 다른 직군으로 확장 시 동일 절차 반복
주의:
  - 라이선스 비용은 연간 총액으로 환산하세요.
  - 관리감독 비용에는 거버넌스 운영, 품질 모니터링, 사고 대응이 포함됩니다.
  - 회수 기간이 18개월을 넘으면 도입 우선순위를 재검토하세요.
— AX Guide for Enterprise · v0.2 / jade@linercorp.com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2026-05-24T04:32:15Z</dcterms:created>
  <dcterms:modified xmlns:dcterms="http://purl.org/dc/terms/" xmlns:xsi="http://www.w3.org/2001/XMLSchema-instance" xsi:type="dcterms:W3CDTF">2026-05-24T04:32:15Z</dcterms:modified>
</cp:coreProperties>
</file>